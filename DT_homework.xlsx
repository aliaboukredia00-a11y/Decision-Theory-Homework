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49E66F5AE9C2CC9/Documents/"/>
    </mc:Choice>
  </mc:AlternateContent>
  <xr:revisionPtr revIDLastSave="2" documentId="8_{7DF5FF97-7C08-46EE-81D8-802A4BECFE6E}" xr6:coauthVersionLast="47" xr6:coauthVersionMax="47" xr10:uidLastSave="{BD4ED1F2-F8A7-4675-890A-FF7D42D201E6}"/>
  <bookViews>
    <workbookView xWindow="-120" yWindow="-120" windowWidth="20730" windowHeight="11160" activeTab="2" xr2:uid="{5B996DA3-6950-414E-94B3-746C82C27DD9}"/>
  </bookViews>
  <sheets>
    <sheet name="Data" sheetId="1" r:id="rId1"/>
    <sheet name="Calculations" sheetId="2" r:id="rId2"/>
    <sheet name="Summary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3" l="1"/>
  <c r="D10" i="3"/>
  <c r="D8" i="3"/>
  <c r="D7" i="3"/>
  <c r="D6" i="3"/>
  <c r="D5" i="3"/>
  <c r="C10" i="3"/>
  <c r="C9" i="3"/>
  <c r="C8" i="3"/>
  <c r="C7" i="3"/>
  <c r="C6" i="3"/>
  <c r="C5" i="3"/>
  <c r="H10" i="1" l="1"/>
  <c r="D7" i="2" s="1"/>
  <c r="H11" i="1"/>
  <c r="D8" i="2" s="1"/>
  <c r="H12" i="1"/>
  <c r="D9" i="2" s="1"/>
  <c r="H13" i="1"/>
  <c r="D10" i="2" s="1"/>
  <c r="H14" i="1"/>
  <c r="D11" i="2" s="1"/>
  <c r="H15" i="1"/>
  <c r="D12" i="2" s="1"/>
  <c r="H16" i="1"/>
  <c r="D13" i="2" s="1"/>
  <c r="H17" i="1"/>
  <c r="D14" i="2" s="1"/>
  <c r="H18" i="1"/>
  <c r="D15" i="2" s="1"/>
  <c r="H19" i="1"/>
  <c r="D16" i="2" s="1"/>
  <c r="H20" i="1"/>
  <c r="D17" i="2" s="1"/>
  <c r="H21" i="1"/>
  <c r="D18" i="2" s="1"/>
  <c r="H22" i="1"/>
  <c r="D19" i="2" s="1"/>
  <c r="H9" i="1"/>
  <c r="D6" i="2" s="1"/>
  <c r="G10" i="1"/>
  <c r="C7" i="2" s="1"/>
  <c r="G11" i="1"/>
  <c r="C8" i="2" s="1"/>
  <c r="G12" i="1"/>
  <c r="C9" i="2" s="1"/>
  <c r="G13" i="1"/>
  <c r="C10" i="2" s="1"/>
  <c r="G14" i="1"/>
  <c r="C11" i="2" s="1"/>
  <c r="G15" i="1"/>
  <c r="C12" i="2" s="1"/>
  <c r="G16" i="1"/>
  <c r="C13" i="2" s="1"/>
  <c r="G17" i="1"/>
  <c r="C14" i="2" s="1"/>
  <c r="G18" i="1"/>
  <c r="C15" i="2" s="1"/>
  <c r="G19" i="1"/>
  <c r="C16" i="2" s="1"/>
  <c r="G20" i="1"/>
  <c r="C17" i="2" s="1"/>
  <c r="G21" i="1"/>
  <c r="C18" i="2" s="1"/>
  <c r="G22" i="1"/>
  <c r="C19" i="2" s="1"/>
  <c r="G9" i="1"/>
  <c r="C6" i="2" s="1"/>
  <c r="F10" i="1"/>
  <c r="B7" i="2" s="1"/>
  <c r="F11" i="1"/>
  <c r="B8" i="2" s="1"/>
  <c r="F12" i="1"/>
  <c r="B9" i="2" s="1"/>
  <c r="F13" i="1"/>
  <c r="B10" i="2" s="1"/>
  <c r="F14" i="1"/>
  <c r="B11" i="2" s="1"/>
  <c r="F15" i="1"/>
  <c r="B12" i="2" s="1"/>
  <c r="F16" i="1"/>
  <c r="B13" i="2" s="1"/>
  <c r="F17" i="1"/>
  <c r="B14" i="2" s="1"/>
  <c r="F18" i="1"/>
  <c r="B15" i="2" s="1"/>
  <c r="F19" i="1"/>
  <c r="B16" i="2" s="1"/>
  <c r="F20" i="1"/>
  <c r="B17" i="2" s="1"/>
  <c r="F21" i="1"/>
  <c r="B18" i="2" s="1"/>
  <c r="F22" i="1"/>
  <c r="B19" i="2" s="1"/>
  <c r="F9" i="1"/>
  <c r="B6" i="2" s="1"/>
  <c r="I19" i="2" l="1"/>
  <c r="I7" i="2"/>
  <c r="I15" i="2"/>
  <c r="H18" i="2"/>
  <c r="I14" i="2"/>
  <c r="H16" i="2"/>
  <c r="J17" i="2"/>
  <c r="I11" i="2"/>
  <c r="J16" i="2"/>
  <c r="F6" i="2"/>
  <c r="H12" i="2"/>
  <c r="H8" i="2"/>
  <c r="H17" i="2"/>
  <c r="H13" i="2"/>
  <c r="H9" i="2"/>
  <c r="K7" i="2"/>
  <c r="J8" i="2"/>
  <c r="K14" i="2"/>
  <c r="H19" i="2"/>
  <c r="H15" i="2"/>
  <c r="H11" i="2"/>
  <c r="H7" i="2"/>
  <c r="J6" i="2"/>
  <c r="J11" i="2"/>
  <c r="J7" i="2"/>
  <c r="K17" i="2"/>
  <c r="K13" i="2"/>
  <c r="K9" i="2"/>
  <c r="J12" i="2"/>
  <c r="K18" i="2"/>
  <c r="K10" i="2"/>
  <c r="I16" i="2"/>
  <c r="I8" i="2"/>
  <c r="J19" i="2"/>
  <c r="J15" i="2"/>
  <c r="J10" i="2"/>
  <c r="J14" i="2"/>
  <c r="K6" i="2"/>
  <c r="K16" i="2"/>
  <c r="K12" i="2"/>
  <c r="K8" i="2"/>
  <c r="J18" i="2"/>
  <c r="J13" i="2"/>
  <c r="J9" i="2"/>
  <c r="K19" i="2"/>
  <c r="K15" i="2"/>
  <c r="K11" i="2"/>
  <c r="I12" i="2"/>
  <c r="I18" i="2"/>
  <c r="I10" i="2"/>
  <c r="I17" i="2"/>
  <c r="I9" i="2"/>
  <c r="H14" i="2"/>
  <c r="H10" i="2"/>
  <c r="I6" i="2"/>
  <c r="H6" i="2"/>
  <c r="I13" i="2"/>
  <c r="F18" i="2"/>
  <c r="F10" i="2"/>
  <c r="F9" i="2"/>
  <c r="G9" i="2"/>
  <c r="G12" i="2"/>
  <c r="F12" i="2"/>
  <c r="G8" i="2"/>
  <c r="F8" i="2"/>
  <c r="G15" i="2"/>
  <c r="G7" i="2"/>
  <c r="F17" i="2"/>
  <c r="G17" i="2"/>
  <c r="G16" i="2"/>
  <c r="F16" i="2"/>
  <c r="F14" i="2"/>
  <c r="F13" i="2"/>
  <c r="G13" i="2"/>
  <c r="G6" i="2"/>
  <c r="G19" i="2"/>
  <c r="G11" i="2"/>
  <c r="G18" i="2"/>
  <c r="G14" i="2"/>
  <c r="G10" i="2"/>
  <c r="F19" i="2"/>
  <c r="F15" i="2"/>
  <c r="F11" i="2"/>
  <c r="F7" i="2"/>
  <c r="K21" i="2" l="1"/>
  <c r="J21" i="2"/>
  <c r="H21" i="2"/>
  <c r="I21" i="2"/>
  <c r="G21" i="2"/>
  <c r="F21" i="2"/>
</calcChain>
</file>

<file path=xl/sharedStrings.xml><?xml version="1.0" encoding="utf-8"?>
<sst xmlns="http://schemas.openxmlformats.org/spreadsheetml/2006/main" count="98" uniqueCount="73">
  <si>
    <t xml:space="preserve">Decision theroy homework : A Case study under uncertainty  </t>
  </si>
  <si>
    <t>Sector</t>
  </si>
  <si>
    <t>Company / asset</t>
  </si>
  <si>
    <t>Ticker</t>
  </si>
  <si>
    <t>Technology</t>
  </si>
  <si>
    <t>Apple</t>
  </si>
  <si>
    <t>AAPL</t>
  </si>
  <si>
    <t>NVIDIA</t>
  </si>
  <si>
    <t>NVDA</t>
  </si>
  <si>
    <t>Microsoft</t>
  </si>
  <si>
    <t>MSFT</t>
  </si>
  <si>
    <t>AMD</t>
  </si>
  <si>
    <t>Energy</t>
  </si>
  <si>
    <t>ExxonMobil</t>
  </si>
  <si>
    <t>XOM</t>
  </si>
  <si>
    <t>Chevron</t>
  </si>
  <si>
    <t>CVX</t>
  </si>
  <si>
    <t>First Solar</t>
  </si>
  <si>
    <t>FSLR</t>
  </si>
  <si>
    <t>Materials</t>
  </si>
  <si>
    <t>Newmont</t>
  </si>
  <si>
    <t>NEM</t>
  </si>
  <si>
    <t>Gold futures (reference)</t>
  </si>
  <si>
    <t>GC=F</t>
  </si>
  <si>
    <t>Real estate</t>
  </si>
  <si>
    <t>Realty Income</t>
  </si>
  <si>
    <t>O</t>
  </si>
  <si>
    <t>Prologis</t>
  </si>
  <si>
    <t>PLD</t>
  </si>
  <si>
    <t>Welltower</t>
  </si>
  <si>
    <t>WELL</t>
  </si>
  <si>
    <t>Consumer goods</t>
  </si>
  <si>
    <t>Coca-Cola</t>
  </si>
  <si>
    <t>KO</t>
  </si>
  <si>
    <t>Amazon</t>
  </si>
  <si>
    <t>AMZN</t>
  </si>
  <si>
    <t>Current price (USD)</t>
  </si>
  <si>
    <t>Price date</t>
  </si>
  <si>
    <t>9 Oct 2026, close</t>
  </si>
  <si>
    <t>Intraday quote, date not shown</t>
  </si>
  <si>
    <t>8 Oct 2026, close</t>
  </si>
  <si>
    <t>9 Oct, COMEX delayed</t>
  </si>
  <si>
    <t>7 Oct 2026, close</t>
  </si>
  <si>
    <t>Scenario 1: Rise (hypothetical)</t>
  </si>
  <si>
    <t>Scenario 2: Stable (hypothetical)</t>
  </si>
  <si>
    <t>Scenario 3: Fall (hypothetical)</t>
  </si>
  <si>
    <t xml:space="preserve">Scenario 1: Rise </t>
  </si>
  <si>
    <t xml:space="preserve">Scenario 2: Stable </t>
  </si>
  <si>
    <t xml:space="preserve">Scenario 3: Fall </t>
  </si>
  <si>
    <t>MAXIMAX</t>
  </si>
  <si>
    <t>MAXIMIN</t>
  </si>
  <si>
    <t>LAPLACE</t>
  </si>
  <si>
    <t>HURWICZ</t>
  </si>
  <si>
    <t>Senarios computation</t>
  </si>
  <si>
    <t>F6=current price *(1+20%)</t>
  </si>
  <si>
    <t>opportunity loss</t>
  </si>
  <si>
    <t>Bernoli criterion</t>
  </si>
  <si>
    <t>Hurwicz coefficient alpha (0 to 1)</t>
  </si>
  <si>
    <t>Legend:</t>
  </si>
  <si>
    <t>Real observed data (Yahoo Finance)</t>
  </si>
  <si>
    <t xml:space="preserve">Hypothetical assumption </t>
  </si>
  <si>
    <t>Uncertainty Methods</t>
  </si>
  <si>
    <t>Result</t>
  </si>
  <si>
    <t>Decision method</t>
  </si>
  <si>
    <t>Best alternative(s)</t>
  </si>
  <si>
    <t>Calculated score</t>
  </si>
  <si>
    <t>1. Maximax</t>
  </si>
  <si>
    <t>2. Maximin</t>
  </si>
  <si>
    <t>3. Laplace</t>
  </si>
  <si>
    <t>4. Hurwicz</t>
  </si>
  <si>
    <t>6. Bernoli criterion</t>
  </si>
  <si>
    <t>5. Opportunity loss</t>
  </si>
  <si>
    <t>Summary: alternative selected by each decision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</si>
</sst>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DA&quot;_-;\-* #,##0.00\ &quot;DA&quot;_-;_-* &quot;-&quot;??\ &quot;DA&quot;_-;_-@_-"/>
    <numFmt numFmtId="164" formatCode="_-[$$-409]* #,##0.00_ ;_-[$$-409]* \-#,##0.00\ ;_-[$$-409]* &quot;-&quot;??_ ;_-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sz val="9"/>
      <color rgb="FF0000FF"/>
      <name val="Arial"/>
      <family val="2"/>
    </font>
    <font>
      <b/>
      <sz val="9"/>
      <color rgb="FF0000FF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b/>
      <sz val="9"/>
      <color theme="0"/>
      <name val="Arial"/>
      <family val="2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theme="4" tint="-0.249977111117893"/>
      <name val="Times New Roman"/>
      <family val="1"/>
    </font>
    <font>
      <b/>
      <sz val="11"/>
      <color theme="4" tint="-0.249977111117893"/>
      <name val="Calibri"/>
      <family val="2"/>
      <scheme val="minor"/>
    </font>
    <font>
      <b/>
      <sz val="14"/>
      <color theme="4" tint="-0.249977111117893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14"/>
      <color theme="4" tint="-0.249977111117893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1F4E79"/>
        <bgColor rgb="FF1F3864"/>
      </patternFill>
    </fill>
    <fill>
      <patternFill patternType="solid">
        <fgColor rgb="FFDDEBF7"/>
        <bgColor rgb="FFD9E1F2"/>
      </patternFill>
    </fill>
    <fill>
      <patternFill patternType="solid">
        <fgColor rgb="FFFFF2CC"/>
        <bgColor rgb="FFE2EFDA"/>
      </patternFill>
    </fill>
    <fill>
      <patternFill patternType="solid">
        <fgColor rgb="FF7F6000"/>
        <bgColor rgb="FF993300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E2EFDA"/>
        <bgColor rgb="FFDDEBF7"/>
      </patternFill>
    </fill>
  </fills>
  <borders count="16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rgb="FFA6A6A6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2">
    <xf numFmtId="0" fontId="0" fillId="0" borderId="0" xfId="0"/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164" fontId="2" fillId="3" borderId="1" xfId="1" applyNumberFormat="1" applyFont="1" applyFill="1" applyBorder="1" applyAlignment="1">
      <alignment horizontal="center" vertical="center" wrapText="1"/>
    </xf>
    <xf numFmtId="164" fontId="4" fillId="4" borderId="1" xfId="1" applyNumberFormat="1" applyFont="1" applyFill="1" applyBorder="1"/>
    <xf numFmtId="0" fontId="2" fillId="6" borderId="1" xfId="0" applyFont="1" applyFill="1" applyBorder="1" applyAlignment="1">
      <alignment horizontal="center" vertical="center" wrapText="1"/>
    </xf>
    <xf numFmtId="0" fontId="5" fillId="5" borderId="1" xfId="0" applyNumberFormat="1" applyFont="1" applyFill="1" applyBorder="1" applyAlignment="1">
      <alignment horizontal="center"/>
    </xf>
    <xf numFmtId="164" fontId="4" fillId="5" borderId="1" xfId="0" applyNumberFormat="1" applyFont="1" applyFill="1" applyBorder="1" applyAlignment="1">
      <alignment horizontal="center"/>
    </xf>
    <xf numFmtId="164" fontId="0" fillId="0" borderId="0" xfId="0" applyNumberFormat="1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7" borderId="0" xfId="0" applyFill="1" applyAlignment="1">
      <alignment horizontal="center" vertical="center"/>
    </xf>
    <xf numFmtId="0" fontId="8" fillId="8" borderId="0" xfId="0" applyFont="1" applyFill="1" applyBorder="1" applyAlignment="1">
      <alignment horizontal="center" vertical="center" wrapText="1"/>
    </xf>
    <xf numFmtId="164" fontId="0" fillId="0" borderId="6" xfId="0" applyNumberFormat="1" applyBorder="1"/>
    <xf numFmtId="164" fontId="0" fillId="0" borderId="6" xfId="1" applyNumberFormat="1" applyFont="1" applyBorder="1"/>
    <xf numFmtId="0" fontId="10" fillId="9" borderId="6" xfId="0" applyFont="1" applyFill="1" applyBorder="1" applyAlignment="1">
      <alignment horizontal="center" vertical="center"/>
    </xf>
    <xf numFmtId="164" fontId="0" fillId="10" borderId="6" xfId="0" applyNumberFormat="1" applyFill="1" applyBorder="1"/>
    <xf numFmtId="0" fontId="0" fillId="0" borderId="0" xfId="0" applyBorder="1"/>
    <xf numFmtId="0" fontId="10" fillId="9" borderId="7" xfId="0" applyFont="1" applyFill="1" applyBorder="1" applyAlignment="1">
      <alignment horizontal="center" vertical="center" wrapText="1"/>
    </xf>
    <xf numFmtId="164" fontId="0" fillId="10" borderId="6" xfId="1" applyNumberFormat="1" applyFont="1" applyFill="1" applyBorder="1"/>
    <xf numFmtId="0" fontId="9" fillId="9" borderId="6" xfId="0" applyFont="1" applyFill="1" applyBorder="1" applyAlignment="1">
      <alignment horizontal="center" vertical="center" wrapText="1"/>
    </xf>
    <xf numFmtId="164" fontId="0" fillId="0" borderId="7" xfId="0" applyNumberFormat="1" applyBorder="1"/>
    <xf numFmtId="164" fontId="0" fillId="10" borderId="7" xfId="0" applyNumberFormat="1" applyFill="1" applyBorder="1"/>
    <xf numFmtId="164" fontId="0" fillId="0" borderId="11" xfId="0" applyNumberFormat="1" applyBorder="1"/>
    <xf numFmtId="164" fontId="0" fillId="0" borderId="11" xfId="1" applyNumberFormat="1" applyFont="1" applyBorder="1"/>
    <xf numFmtId="0" fontId="9" fillId="0" borderId="0" xfId="0" applyFont="1" applyFill="1" applyBorder="1" applyAlignment="1">
      <alignment horizontal="center" vertical="center" wrapText="1"/>
    </xf>
    <xf numFmtId="164" fontId="0" fillId="0" borderId="0" xfId="0" applyNumberFormat="1" applyFill="1" applyBorder="1"/>
    <xf numFmtId="0" fontId="0" fillId="0" borderId="0" xfId="0" applyNumberFormat="1" applyFill="1" applyBorder="1"/>
    <xf numFmtId="164" fontId="0" fillId="0" borderId="10" xfId="0" applyNumberFormat="1" applyFill="1" applyBorder="1"/>
    <xf numFmtId="0" fontId="7" fillId="0" borderId="0" xfId="0" applyFont="1"/>
    <xf numFmtId="0" fontId="6" fillId="0" borderId="0" xfId="0" applyFont="1"/>
    <xf numFmtId="0" fontId="4" fillId="0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9" fillId="0" borderId="0" xfId="0" applyFont="1"/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1" fillId="0" borderId="0" xfId="0" applyFont="1" applyAlignment="1"/>
    <xf numFmtId="0" fontId="2" fillId="2" borderId="6" xfId="0" applyFont="1" applyFill="1" applyBorder="1" applyAlignment="1">
      <alignment horizontal="center" vertical="center" wrapText="1"/>
    </xf>
    <xf numFmtId="164" fontId="0" fillId="11" borderId="8" xfId="0" applyNumberFormat="1" applyFill="1" applyBorder="1"/>
    <xf numFmtId="164" fontId="0" fillId="11" borderId="8" xfId="1" applyNumberFormat="1" applyFont="1" applyFill="1" applyBorder="1"/>
    <xf numFmtId="164" fontId="0" fillId="11" borderId="14" xfId="0" applyNumberFormat="1" applyFill="1" applyBorder="1"/>
    <xf numFmtId="164" fontId="0" fillId="0" borderId="9" xfId="0" applyNumberFormat="1" applyBorder="1"/>
    <xf numFmtId="164" fontId="0" fillId="0" borderId="9" xfId="1" applyNumberFormat="1" applyFont="1" applyBorder="1"/>
    <xf numFmtId="164" fontId="4" fillId="0" borderId="15" xfId="0" applyNumberFormat="1" applyFont="1" applyFill="1" applyBorder="1" applyAlignment="1">
      <alignment horizontal="center"/>
    </xf>
    <xf numFmtId="164" fontId="4" fillId="0" borderId="0" xfId="0" applyNumberFormat="1" applyFont="1" applyFill="1" applyBorder="1" applyAlignment="1">
      <alignment horizontal="center"/>
    </xf>
    <xf numFmtId="0" fontId="16" fillId="0" borderId="0" xfId="0" applyFont="1" applyAlignment="1"/>
    <xf numFmtId="164" fontId="2" fillId="2" borderId="6" xfId="0" applyNumberFormat="1" applyFont="1" applyFill="1" applyBorder="1" applyAlignment="1">
      <alignment horizontal="center" vertical="center" wrapText="1"/>
    </xf>
    <xf numFmtId="0" fontId="14" fillId="0" borderId="6" xfId="0" applyFont="1" applyBorder="1" applyAlignment="1">
      <alignment vertical="center" wrapText="1"/>
    </xf>
    <xf numFmtId="0" fontId="14" fillId="12" borderId="6" xfId="0" applyFont="1" applyFill="1" applyBorder="1" applyAlignment="1">
      <alignment horizontal="center" vertical="center" wrapText="1"/>
    </xf>
    <xf numFmtId="164" fontId="15" fillId="12" borderId="6" xfId="0" applyNumberFormat="1" applyFont="1" applyFill="1" applyBorder="1" applyAlignment="1">
      <alignment horizontal="center" vertical="center" wrapText="1"/>
    </xf>
    <xf numFmtId="0" fontId="13" fillId="0" borderId="5" xfId="0" applyFont="1" applyBorder="1" applyAlignment="1">
      <alignment vertical="center" wrapText="1"/>
    </xf>
    <xf numFmtId="0" fontId="13" fillId="0" borderId="0" xfId="0" applyFont="1" applyFill="1" applyAlignment="1">
      <alignment horizontal="center" vertical="center" wrapText="1"/>
    </xf>
    <xf numFmtId="0" fontId="17" fillId="0" borderId="0" xfId="0" applyFont="1" applyAlignment="1">
      <alignment horizontal="center"/>
    </xf>
  </cellXfs>
  <cellStyles count="2">
    <cellStyle name="Monétaire" xfId="1" builtinId="4"/>
    <cellStyle name="Normal" xfId="0" builtinId="0"/>
  </cellStyles>
  <dxfs count="1">
    <dxf>
      <font>
        <color rgb="FF00B050"/>
      </font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CACE3-5E70-4DF3-A16A-D903403E3C77}">
  <dimension ref="A1:I24"/>
  <sheetViews>
    <sheetView topLeftCell="A10" zoomScaleNormal="100" workbookViewId="0">
      <selection activeCell="J7" sqref="J7"/>
    </sheetView>
  </sheetViews>
  <sheetFormatPr baseColWidth="10" defaultRowHeight="15" x14ac:dyDescent="0.25"/>
  <cols>
    <col min="1" max="1" width="15.42578125" customWidth="1"/>
    <col min="2" max="2" width="24" bestFit="1" customWidth="1"/>
    <col min="3" max="3" width="9.42578125" bestFit="1" customWidth="1"/>
    <col min="4" max="4" width="11.7109375" bestFit="1" customWidth="1"/>
    <col min="5" max="5" width="17.42578125" customWidth="1"/>
    <col min="6" max="6" width="19.140625" customWidth="1"/>
    <col min="7" max="7" width="19.85546875" customWidth="1"/>
    <col min="8" max="8" width="22.7109375" customWidth="1"/>
  </cols>
  <sheetData>
    <row r="1" spans="1:9" ht="18.75" x14ac:dyDescent="0.3">
      <c r="A1" s="61" t="s">
        <v>0</v>
      </c>
      <c r="B1" s="61"/>
      <c r="C1" s="61"/>
      <c r="D1" s="61"/>
      <c r="E1" s="61"/>
      <c r="F1" s="61"/>
    </row>
    <row r="2" spans="1:9" ht="12" customHeight="1" x14ac:dyDescent="0.25">
      <c r="A2" s="1"/>
    </row>
    <row r="3" spans="1:9" ht="12" customHeight="1" x14ac:dyDescent="0.25">
      <c r="A3" s="1"/>
    </row>
    <row r="4" spans="1:9" ht="12" customHeight="1" x14ac:dyDescent="0.25">
      <c r="A4" s="18" t="s">
        <v>53</v>
      </c>
      <c r="B4" s="17" t="s">
        <v>54</v>
      </c>
      <c r="E4" s="35" t="s">
        <v>58</v>
      </c>
      <c r="F4" s="40" t="s">
        <v>59</v>
      </c>
      <c r="G4" s="41"/>
      <c r="H4" s="38" t="s">
        <v>60</v>
      </c>
      <c r="I4" s="39"/>
    </row>
    <row r="5" spans="1:9" ht="12" customHeight="1" x14ac:dyDescent="0.25">
      <c r="A5" s="18"/>
      <c r="B5" s="17"/>
    </row>
    <row r="6" spans="1:9" x14ac:dyDescent="0.25">
      <c r="A6" s="1"/>
    </row>
    <row r="7" spans="1:9" x14ac:dyDescent="0.25">
      <c r="A7" s="1"/>
      <c r="F7" s="8">
        <v>0.2</v>
      </c>
      <c r="G7" s="8">
        <v>0.03</v>
      </c>
      <c r="H7" s="8">
        <v>-0.15</v>
      </c>
    </row>
    <row r="8" spans="1:9" ht="50.25" customHeight="1" x14ac:dyDescent="0.25">
      <c r="A8" s="2" t="s">
        <v>1</v>
      </c>
      <c r="B8" s="2" t="s">
        <v>2</v>
      </c>
      <c r="C8" s="2" t="s">
        <v>3</v>
      </c>
      <c r="D8" s="5" t="s">
        <v>36</v>
      </c>
      <c r="E8" s="4" t="s">
        <v>37</v>
      </c>
      <c r="F8" s="7" t="s">
        <v>43</v>
      </c>
      <c r="G8" s="7" t="s">
        <v>44</v>
      </c>
      <c r="H8" s="7" t="s">
        <v>45</v>
      </c>
    </row>
    <row r="9" spans="1:9" x14ac:dyDescent="0.25">
      <c r="A9" s="11" t="s">
        <v>4</v>
      </c>
      <c r="B9" s="3" t="s">
        <v>5</v>
      </c>
      <c r="C9" s="3" t="s">
        <v>6</v>
      </c>
      <c r="D9" s="6">
        <v>336.64</v>
      </c>
      <c r="E9" s="37" t="s">
        <v>38</v>
      </c>
      <c r="F9" s="9">
        <f>D9*(1+$F$7)</f>
        <v>403.96799999999996</v>
      </c>
      <c r="G9" s="9">
        <f>D9*(1+$G$7)</f>
        <v>346.73919999999998</v>
      </c>
      <c r="H9" s="9">
        <f>D9*(1+$H$7)</f>
        <v>286.14400000000001</v>
      </c>
    </row>
    <row r="10" spans="1:9" x14ac:dyDescent="0.25">
      <c r="A10" s="12"/>
      <c r="B10" s="3" t="s">
        <v>7</v>
      </c>
      <c r="C10" s="3" t="s">
        <v>8</v>
      </c>
      <c r="D10" s="6">
        <v>229.28</v>
      </c>
      <c r="E10" s="37" t="s">
        <v>38</v>
      </c>
      <c r="F10" s="9">
        <f t="shared" ref="F10:F22" si="0">D10*(1+$F$7)</f>
        <v>275.13599999999997</v>
      </c>
      <c r="G10" s="9">
        <f t="shared" ref="G10:G22" si="1">D10*(1+$G$7)</f>
        <v>236.1584</v>
      </c>
      <c r="H10" s="9">
        <f t="shared" ref="H10:H22" si="2">D10*(1+$H$7)</f>
        <v>194.88800000000001</v>
      </c>
    </row>
    <row r="11" spans="1:9" x14ac:dyDescent="0.25">
      <c r="A11" s="12"/>
      <c r="B11" s="3" t="s">
        <v>9</v>
      </c>
      <c r="C11" s="3" t="s">
        <v>10</v>
      </c>
      <c r="D11" s="6">
        <v>535.07000000000005</v>
      </c>
      <c r="E11" s="37" t="s">
        <v>38</v>
      </c>
      <c r="F11" s="9">
        <f t="shared" si="0"/>
        <v>642.08400000000006</v>
      </c>
      <c r="G11" s="9">
        <f t="shared" si="1"/>
        <v>551.12210000000005</v>
      </c>
      <c r="H11" s="9">
        <f t="shared" si="2"/>
        <v>454.80950000000001</v>
      </c>
    </row>
    <row r="12" spans="1:9" x14ac:dyDescent="0.25">
      <c r="A12" s="13"/>
      <c r="B12" s="3" t="s">
        <v>11</v>
      </c>
      <c r="C12" s="3" t="s">
        <v>11</v>
      </c>
      <c r="D12" s="6">
        <v>608.1</v>
      </c>
      <c r="E12" s="37" t="s">
        <v>38</v>
      </c>
      <c r="F12" s="9">
        <f t="shared" si="0"/>
        <v>729.72</v>
      </c>
      <c r="G12" s="9">
        <f t="shared" si="1"/>
        <v>626.34300000000007</v>
      </c>
      <c r="H12" s="9">
        <f t="shared" si="2"/>
        <v>516.88499999999999</v>
      </c>
    </row>
    <row r="13" spans="1:9" x14ac:dyDescent="0.25">
      <c r="A13" s="11" t="s">
        <v>12</v>
      </c>
      <c r="B13" s="3" t="s">
        <v>13</v>
      </c>
      <c r="C13" s="3" t="s">
        <v>14</v>
      </c>
      <c r="D13" s="6">
        <v>168.94</v>
      </c>
      <c r="E13" s="37" t="s">
        <v>38</v>
      </c>
      <c r="F13" s="9">
        <f t="shared" si="0"/>
        <v>202.72799999999998</v>
      </c>
      <c r="G13" s="9">
        <f t="shared" si="1"/>
        <v>174.00819999999999</v>
      </c>
      <c r="H13" s="9">
        <f t="shared" si="2"/>
        <v>143.59899999999999</v>
      </c>
    </row>
    <row r="14" spans="1:9" x14ac:dyDescent="0.25">
      <c r="A14" s="12"/>
      <c r="B14" s="3" t="s">
        <v>15</v>
      </c>
      <c r="C14" s="3" t="s">
        <v>16</v>
      </c>
      <c r="D14" s="6">
        <v>211.98</v>
      </c>
      <c r="E14" s="37" t="s">
        <v>38</v>
      </c>
      <c r="F14" s="9">
        <f t="shared" si="0"/>
        <v>254.37599999999998</v>
      </c>
      <c r="G14" s="9">
        <f t="shared" si="1"/>
        <v>218.33939999999998</v>
      </c>
      <c r="H14" s="9">
        <f t="shared" si="2"/>
        <v>180.18299999999999</v>
      </c>
    </row>
    <row r="15" spans="1:9" x14ac:dyDescent="0.25">
      <c r="A15" s="13"/>
      <c r="B15" s="3" t="s">
        <v>17</v>
      </c>
      <c r="C15" s="3" t="s">
        <v>18</v>
      </c>
      <c r="D15" s="6">
        <v>177.82</v>
      </c>
      <c r="E15" s="37" t="s">
        <v>38</v>
      </c>
      <c r="F15" s="9">
        <f t="shared" si="0"/>
        <v>213.38399999999999</v>
      </c>
      <c r="G15" s="9">
        <f t="shared" si="1"/>
        <v>183.15459999999999</v>
      </c>
      <c r="H15" s="9">
        <f t="shared" si="2"/>
        <v>151.14699999999999</v>
      </c>
    </row>
    <row r="16" spans="1:9" x14ac:dyDescent="0.25">
      <c r="A16" s="11" t="s">
        <v>19</v>
      </c>
      <c r="B16" s="3" t="s">
        <v>20</v>
      </c>
      <c r="C16" s="3" t="s">
        <v>21</v>
      </c>
      <c r="D16" s="6">
        <v>117.84</v>
      </c>
      <c r="E16" s="37" t="s">
        <v>38</v>
      </c>
      <c r="F16" s="9">
        <f t="shared" si="0"/>
        <v>141.40799999999999</v>
      </c>
      <c r="G16" s="9">
        <f t="shared" si="1"/>
        <v>121.37520000000001</v>
      </c>
      <c r="H16" s="9">
        <f t="shared" si="2"/>
        <v>100.164</v>
      </c>
    </row>
    <row r="17" spans="1:8" ht="24" x14ac:dyDescent="0.25">
      <c r="A17" s="13"/>
      <c r="B17" s="3" t="s">
        <v>22</v>
      </c>
      <c r="C17" s="3" t="s">
        <v>23</v>
      </c>
      <c r="D17" s="6">
        <v>4216.3</v>
      </c>
      <c r="E17" s="37" t="s">
        <v>41</v>
      </c>
      <c r="F17" s="9">
        <f t="shared" si="0"/>
        <v>5059.5600000000004</v>
      </c>
      <c r="G17" s="9">
        <f t="shared" si="1"/>
        <v>4342.7890000000007</v>
      </c>
      <c r="H17" s="9">
        <f t="shared" si="2"/>
        <v>3583.855</v>
      </c>
    </row>
    <row r="18" spans="1:8" ht="24" x14ac:dyDescent="0.25">
      <c r="A18" s="11" t="s">
        <v>24</v>
      </c>
      <c r="B18" s="3" t="s">
        <v>25</v>
      </c>
      <c r="C18" s="3" t="s">
        <v>26</v>
      </c>
      <c r="D18" s="6">
        <v>53.83</v>
      </c>
      <c r="E18" s="37" t="s">
        <v>39</v>
      </c>
      <c r="F18" s="9">
        <f t="shared" si="0"/>
        <v>64.595999999999989</v>
      </c>
      <c r="G18" s="9">
        <f t="shared" si="1"/>
        <v>55.444899999999997</v>
      </c>
      <c r="H18" s="9">
        <f t="shared" si="2"/>
        <v>45.755499999999998</v>
      </c>
    </row>
    <row r="19" spans="1:8" x14ac:dyDescent="0.25">
      <c r="A19" s="12"/>
      <c r="B19" s="3" t="s">
        <v>27</v>
      </c>
      <c r="C19" s="3" t="s">
        <v>28</v>
      </c>
      <c r="D19" s="6">
        <v>127.3</v>
      </c>
      <c r="E19" s="37" t="s">
        <v>42</v>
      </c>
      <c r="F19" s="9">
        <f t="shared" si="0"/>
        <v>152.76</v>
      </c>
      <c r="G19" s="9">
        <f t="shared" si="1"/>
        <v>131.119</v>
      </c>
      <c r="H19" s="9">
        <f t="shared" si="2"/>
        <v>108.205</v>
      </c>
    </row>
    <row r="20" spans="1:8" x14ac:dyDescent="0.25">
      <c r="A20" s="13"/>
      <c r="B20" s="3" t="s">
        <v>29</v>
      </c>
      <c r="C20" s="3" t="s">
        <v>30</v>
      </c>
      <c r="D20" s="6">
        <v>223.04</v>
      </c>
      <c r="E20" s="37" t="s">
        <v>40</v>
      </c>
      <c r="F20" s="9">
        <f t="shared" si="0"/>
        <v>267.64799999999997</v>
      </c>
      <c r="G20" s="9">
        <f t="shared" si="1"/>
        <v>229.7312</v>
      </c>
      <c r="H20" s="9">
        <f t="shared" si="2"/>
        <v>189.58399999999997</v>
      </c>
    </row>
    <row r="21" spans="1:8" ht="24" customHeight="1" x14ac:dyDescent="0.25">
      <c r="A21" s="11" t="s">
        <v>31</v>
      </c>
      <c r="B21" s="3" t="s">
        <v>32</v>
      </c>
      <c r="C21" s="3" t="s">
        <v>33</v>
      </c>
      <c r="D21" s="6">
        <v>88.05</v>
      </c>
      <c r="E21" s="37" t="s">
        <v>38</v>
      </c>
      <c r="F21" s="9">
        <f t="shared" si="0"/>
        <v>105.66</v>
      </c>
      <c r="G21" s="9">
        <f t="shared" si="1"/>
        <v>90.691500000000005</v>
      </c>
      <c r="H21" s="9">
        <f t="shared" si="2"/>
        <v>74.842500000000001</v>
      </c>
    </row>
    <row r="22" spans="1:8" x14ac:dyDescent="0.25">
      <c r="A22" s="13"/>
      <c r="B22" s="3" t="s">
        <v>34</v>
      </c>
      <c r="C22" s="3" t="s">
        <v>35</v>
      </c>
      <c r="D22" s="6">
        <v>262.43</v>
      </c>
      <c r="E22" s="37" t="s">
        <v>38</v>
      </c>
      <c r="F22" s="9">
        <f t="shared" si="0"/>
        <v>314.916</v>
      </c>
      <c r="G22" s="9">
        <f t="shared" si="1"/>
        <v>270.30290000000002</v>
      </c>
      <c r="H22" s="9">
        <f t="shared" si="2"/>
        <v>223.06549999999999</v>
      </c>
    </row>
    <row r="24" spans="1:8" x14ac:dyDescent="0.25">
      <c r="B24" s="15"/>
      <c r="C24" s="14"/>
    </row>
  </sheetData>
  <mergeCells count="9">
    <mergeCell ref="F4:G4"/>
    <mergeCell ref="A18:A20"/>
    <mergeCell ref="A21:A22"/>
    <mergeCell ref="A1:F1"/>
    <mergeCell ref="A9:A12"/>
    <mergeCell ref="A13:A15"/>
    <mergeCell ref="A16:A17"/>
    <mergeCell ref="A4:A5"/>
    <mergeCell ref="B4:B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478EC-F80A-4E8F-B2A8-A68C3FD81D22}">
  <dimension ref="A2:N22"/>
  <sheetViews>
    <sheetView topLeftCell="A7" workbookViewId="0">
      <selection activeCell="F24" sqref="F24"/>
    </sheetView>
  </sheetViews>
  <sheetFormatPr baseColWidth="10" defaultRowHeight="15" x14ac:dyDescent="0.25"/>
  <cols>
    <col min="2" max="2" width="18.7109375" customWidth="1"/>
    <col min="9" max="9" width="12.42578125" bestFit="1" customWidth="1"/>
    <col min="11" max="11" width="12.85546875" customWidth="1"/>
  </cols>
  <sheetData>
    <row r="2" spans="1:14" x14ac:dyDescent="0.25">
      <c r="A2" s="44" t="s">
        <v>57</v>
      </c>
      <c r="B2" s="44"/>
      <c r="C2" s="36">
        <v>0.3</v>
      </c>
      <c r="E2" s="23"/>
      <c r="F2" s="43" t="s">
        <v>61</v>
      </c>
      <c r="G2" s="43"/>
      <c r="H2" s="43"/>
      <c r="I2" s="43"/>
      <c r="J2" s="43"/>
      <c r="K2" s="43"/>
    </row>
    <row r="3" spans="1:14" x14ac:dyDescent="0.25">
      <c r="E3" s="23"/>
      <c r="F3" s="45"/>
      <c r="G3" s="45"/>
      <c r="H3" s="45"/>
      <c r="I3" s="45"/>
      <c r="J3" s="45"/>
      <c r="K3" s="45"/>
    </row>
    <row r="4" spans="1:14" x14ac:dyDescent="0.25">
      <c r="B4" s="8">
        <v>0.2</v>
      </c>
      <c r="C4" s="8">
        <v>0.03</v>
      </c>
      <c r="D4" s="8">
        <v>-0.15</v>
      </c>
      <c r="K4" s="16"/>
      <c r="L4" s="16"/>
      <c r="M4" s="16"/>
    </row>
    <row r="5" spans="1:14" ht="36" customHeight="1" x14ac:dyDescent="0.25">
      <c r="A5" s="2" t="s">
        <v>3</v>
      </c>
      <c r="B5" s="7" t="s">
        <v>46</v>
      </c>
      <c r="C5" s="7" t="s">
        <v>47</v>
      </c>
      <c r="D5" s="7" t="s">
        <v>48</v>
      </c>
      <c r="F5" s="21" t="s">
        <v>49</v>
      </c>
      <c r="G5" s="21" t="s">
        <v>50</v>
      </c>
      <c r="H5" s="21" t="s">
        <v>51</v>
      </c>
      <c r="I5" s="21" t="s">
        <v>52</v>
      </c>
      <c r="J5" s="24" t="s">
        <v>56</v>
      </c>
      <c r="K5" s="26" t="s">
        <v>55</v>
      </c>
      <c r="L5" s="31"/>
      <c r="M5" s="31"/>
      <c r="N5" s="23"/>
    </row>
    <row r="6" spans="1:14" x14ac:dyDescent="0.25">
      <c r="A6" s="3" t="s">
        <v>6</v>
      </c>
      <c r="B6" s="9">
        <f>Data!F9</f>
        <v>403.96799999999996</v>
      </c>
      <c r="C6" s="9">
        <f>Data!G9</f>
        <v>346.73919999999998</v>
      </c>
      <c r="D6" s="9">
        <f>Data!H9</f>
        <v>286.14400000000001</v>
      </c>
      <c r="F6" s="19">
        <f>MAX(B6:D6)</f>
        <v>403.96799999999996</v>
      </c>
      <c r="G6" s="19">
        <f>MIN(B6:D6)</f>
        <v>286.14400000000001</v>
      </c>
      <c r="H6" s="29">
        <f>SUM(B6:D6)/3</f>
        <v>345.61706666666669</v>
      </c>
      <c r="I6" s="30">
        <f>MAX(B6:D6)*$C$2+(1-$C$2)*MIN(B6:D6)</f>
        <v>321.49119999999994</v>
      </c>
      <c r="J6" s="10">
        <f>(LN(B6)+LN(C6)+LN(D6))/3</f>
        <v>5.8354679199551986</v>
      </c>
      <c r="K6" s="19">
        <f>MAX((MAX($B$6:$B$19)-B6),(MAX($C$6:$C$19)-C6),(MAX($D$6:$D$19)-D6))</f>
        <v>4655.5920000000006</v>
      </c>
      <c r="L6" s="23"/>
      <c r="M6" s="23"/>
    </row>
    <row r="7" spans="1:14" x14ac:dyDescent="0.25">
      <c r="A7" s="3" t="s">
        <v>8</v>
      </c>
      <c r="B7" s="9">
        <f>Data!F10</f>
        <v>275.13599999999997</v>
      </c>
      <c r="C7" s="9">
        <f>Data!G10</f>
        <v>236.1584</v>
      </c>
      <c r="D7" s="9">
        <f>Data!H10</f>
        <v>194.88800000000001</v>
      </c>
      <c r="F7" s="19">
        <f t="shared" ref="F7:F19" si="0">MAX(B7:D7)</f>
        <v>275.13599999999997</v>
      </c>
      <c r="G7" s="27">
        <f t="shared" ref="G7:G19" si="1">MIN(B7:D7)</f>
        <v>194.88800000000001</v>
      </c>
      <c r="H7" s="19">
        <f t="shared" ref="H7:H19" si="2">SUM(B7:D7)/3</f>
        <v>235.39413333333334</v>
      </c>
      <c r="I7" s="20">
        <f t="shared" ref="I7:I19" si="3">MAX(B7:D7)*$C$2+(1-$C$2)*MIN(B7:D7)</f>
        <v>218.96239999999997</v>
      </c>
      <c r="J7" s="19">
        <f>(LN(B7)+LN(C7)+LN(D7))/3</f>
        <v>5.4513977739257697</v>
      </c>
      <c r="K7" s="19">
        <f t="shared" ref="K7:K19" si="4">MAX((MAX($B$6:$B$19)-B7),(MAX($C$6:$C$19)-C7),(MAX($D$6:$D$19)-D7))</f>
        <v>4784.4240000000009</v>
      </c>
      <c r="L7" s="23"/>
      <c r="M7" s="23"/>
    </row>
    <row r="8" spans="1:14" x14ac:dyDescent="0.25">
      <c r="A8" s="3" t="s">
        <v>10</v>
      </c>
      <c r="B8" s="9">
        <f>Data!F11</f>
        <v>642.08400000000006</v>
      </c>
      <c r="C8" s="9">
        <f>Data!G11</f>
        <v>551.12210000000005</v>
      </c>
      <c r="D8" s="9">
        <f>Data!H11</f>
        <v>454.80950000000001</v>
      </c>
      <c r="F8" s="19">
        <f t="shared" si="0"/>
        <v>642.08400000000006</v>
      </c>
      <c r="G8" s="27">
        <f t="shared" si="1"/>
        <v>454.80950000000001</v>
      </c>
      <c r="H8" s="19">
        <f t="shared" si="2"/>
        <v>549.33853333333343</v>
      </c>
      <c r="I8" s="20">
        <f t="shared" si="3"/>
        <v>510.99185</v>
      </c>
      <c r="J8" s="19">
        <f>(LN(B8)+LN(C8)+LN(D8))/3</f>
        <v>6.2988513893044571</v>
      </c>
      <c r="K8" s="19">
        <f t="shared" si="4"/>
        <v>4417.4760000000006</v>
      </c>
    </row>
    <row r="9" spans="1:14" x14ac:dyDescent="0.25">
      <c r="A9" s="3" t="s">
        <v>11</v>
      </c>
      <c r="B9" s="9">
        <f>Data!F12</f>
        <v>729.72</v>
      </c>
      <c r="C9" s="9">
        <f>Data!G12</f>
        <v>626.34300000000007</v>
      </c>
      <c r="D9" s="9">
        <f>Data!H12</f>
        <v>516.88499999999999</v>
      </c>
      <c r="F9" s="19">
        <f t="shared" si="0"/>
        <v>729.72</v>
      </c>
      <c r="G9" s="27">
        <f t="shared" si="1"/>
        <v>516.88499999999999</v>
      </c>
      <c r="H9" s="19">
        <f t="shared" si="2"/>
        <v>624.31600000000003</v>
      </c>
      <c r="I9" s="20">
        <f t="shared" si="3"/>
        <v>580.7355</v>
      </c>
      <c r="J9" s="19">
        <f>(LN(B9)+LN(C9)+LN(D9))/3</f>
        <v>6.4267931519719719</v>
      </c>
      <c r="K9" s="19">
        <f t="shared" si="4"/>
        <v>4329.84</v>
      </c>
    </row>
    <row r="10" spans="1:14" x14ac:dyDescent="0.25">
      <c r="A10" s="3" t="s">
        <v>14</v>
      </c>
      <c r="B10" s="9">
        <f>Data!F13</f>
        <v>202.72799999999998</v>
      </c>
      <c r="C10" s="9">
        <f>Data!G13</f>
        <v>174.00819999999999</v>
      </c>
      <c r="D10" s="9">
        <f>Data!H13</f>
        <v>143.59899999999999</v>
      </c>
      <c r="F10" s="19">
        <f t="shared" si="0"/>
        <v>202.72799999999998</v>
      </c>
      <c r="G10" s="27">
        <f t="shared" si="1"/>
        <v>143.59899999999999</v>
      </c>
      <c r="H10" s="19">
        <f t="shared" si="2"/>
        <v>173.44506666666666</v>
      </c>
      <c r="I10" s="20">
        <f t="shared" si="3"/>
        <v>161.33769999999998</v>
      </c>
      <c r="J10" s="19">
        <f>(LN(B10)+LN(C10)+LN(D10))/3</f>
        <v>5.1459974321452586</v>
      </c>
      <c r="K10" s="19">
        <f t="shared" si="4"/>
        <v>4856.8320000000003</v>
      </c>
    </row>
    <row r="11" spans="1:14" x14ac:dyDescent="0.25">
      <c r="A11" s="3" t="s">
        <v>16</v>
      </c>
      <c r="B11" s="9">
        <f>Data!F14</f>
        <v>254.37599999999998</v>
      </c>
      <c r="C11" s="9">
        <f>Data!G14</f>
        <v>218.33939999999998</v>
      </c>
      <c r="D11" s="9">
        <f>Data!H14</f>
        <v>180.18299999999999</v>
      </c>
      <c r="F11" s="19">
        <f t="shared" si="0"/>
        <v>254.37599999999998</v>
      </c>
      <c r="G11" s="27">
        <f t="shared" si="1"/>
        <v>180.18299999999999</v>
      </c>
      <c r="H11" s="19">
        <f t="shared" si="2"/>
        <v>217.63279999999997</v>
      </c>
      <c r="I11" s="20">
        <f t="shared" si="3"/>
        <v>202.4409</v>
      </c>
      <c r="J11" s="19">
        <f>(LN(B11)+LN(C11)+LN(D11))/3</f>
        <v>5.372945740445016</v>
      </c>
      <c r="K11" s="19">
        <f t="shared" si="4"/>
        <v>4805.1840000000002</v>
      </c>
      <c r="L11" s="10"/>
    </row>
    <row r="12" spans="1:14" x14ac:dyDescent="0.25">
      <c r="A12" s="3" t="s">
        <v>18</v>
      </c>
      <c r="B12" s="9">
        <f>Data!F15</f>
        <v>213.38399999999999</v>
      </c>
      <c r="C12" s="9">
        <f>Data!G15</f>
        <v>183.15459999999999</v>
      </c>
      <c r="D12" s="9">
        <f>Data!H15</f>
        <v>151.14699999999999</v>
      </c>
      <c r="F12" s="19">
        <f t="shared" si="0"/>
        <v>213.38399999999999</v>
      </c>
      <c r="G12" s="27">
        <f t="shared" si="1"/>
        <v>151.14699999999999</v>
      </c>
      <c r="H12" s="19">
        <f t="shared" si="2"/>
        <v>182.56186666666667</v>
      </c>
      <c r="I12" s="20">
        <f t="shared" si="3"/>
        <v>169.81809999999999</v>
      </c>
      <c r="J12" s="19">
        <f>(LN(B12)+LN(C12)+LN(D12))/3</f>
        <v>5.1972256125389009</v>
      </c>
      <c r="K12" s="19">
        <f t="shared" si="4"/>
        <v>4846.1760000000004</v>
      </c>
    </row>
    <row r="13" spans="1:14" x14ac:dyDescent="0.25">
      <c r="A13" s="3" t="s">
        <v>21</v>
      </c>
      <c r="B13" s="9">
        <f>Data!F16</f>
        <v>141.40799999999999</v>
      </c>
      <c r="C13" s="9">
        <f>Data!G16</f>
        <v>121.37520000000001</v>
      </c>
      <c r="D13" s="9">
        <f>Data!H16</f>
        <v>100.164</v>
      </c>
      <c r="F13" s="19">
        <f t="shared" si="0"/>
        <v>141.40799999999999</v>
      </c>
      <c r="G13" s="27">
        <f t="shared" si="1"/>
        <v>100.164</v>
      </c>
      <c r="H13" s="19">
        <f t="shared" si="2"/>
        <v>120.98239999999998</v>
      </c>
      <c r="I13" s="20">
        <f t="shared" si="3"/>
        <v>112.5372</v>
      </c>
      <c r="J13" s="19">
        <f>(LN(B13)+LN(C13)+LN(D13))/3</f>
        <v>4.7857815820002836</v>
      </c>
      <c r="K13" s="19">
        <f t="shared" si="4"/>
        <v>4918.152</v>
      </c>
    </row>
    <row r="14" spans="1:14" x14ac:dyDescent="0.25">
      <c r="A14" s="3" t="s">
        <v>23</v>
      </c>
      <c r="B14" s="9">
        <f>Data!F17</f>
        <v>5059.5600000000004</v>
      </c>
      <c r="C14" s="9">
        <f>Data!G17</f>
        <v>4342.7890000000007</v>
      </c>
      <c r="D14" s="9">
        <f>Data!H17</f>
        <v>3583.855</v>
      </c>
      <c r="F14" s="22">
        <f t="shared" si="0"/>
        <v>5059.5600000000004</v>
      </c>
      <c r="G14" s="28">
        <f t="shared" si="1"/>
        <v>3583.855</v>
      </c>
      <c r="H14" s="22">
        <f t="shared" si="2"/>
        <v>4328.7346666666672</v>
      </c>
      <c r="I14" s="25">
        <f t="shared" si="3"/>
        <v>4026.5664999999999</v>
      </c>
      <c r="J14" s="22">
        <f>(LN(B14)+LN(C14)+LN(D14))/3</f>
        <v>8.3631670550307877</v>
      </c>
      <c r="K14" s="22">
        <f t="shared" si="4"/>
        <v>0</v>
      </c>
    </row>
    <row r="15" spans="1:14" x14ac:dyDescent="0.25">
      <c r="A15" s="3" t="s">
        <v>26</v>
      </c>
      <c r="B15" s="9">
        <f>Data!F18</f>
        <v>64.595999999999989</v>
      </c>
      <c r="C15" s="9">
        <f>Data!G18</f>
        <v>55.444899999999997</v>
      </c>
      <c r="D15" s="9">
        <f>Data!H18</f>
        <v>45.755499999999998</v>
      </c>
      <c r="F15" s="19">
        <f t="shared" si="0"/>
        <v>64.595999999999989</v>
      </c>
      <c r="G15" s="27">
        <f t="shared" si="1"/>
        <v>45.755499999999998</v>
      </c>
      <c r="H15" s="19">
        <f t="shared" si="2"/>
        <v>55.265466666666669</v>
      </c>
      <c r="I15" s="20">
        <f t="shared" si="3"/>
        <v>51.40764999999999</v>
      </c>
      <c r="J15" s="19">
        <f>(LN(B15)+LN(C15)+LN(D15))/3</f>
        <v>4.002284742418774</v>
      </c>
      <c r="K15" s="19">
        <f t="shared" si="4"/>
        <v>4994.9640000000009</v>
      </c>
    </row>
    <row r="16" spans="1:14" x14ac:dyDescent="0.25">
      <c r="A16" s="3" t="s">
        <v>28</v>
      </c>
      <c r="B16" s="9">
        <f>Data!F19</f>
        <v>152.76</v>
      </c>
      <c r="C16" s="9">
        <f>Data!G19</f>
        <v>131.119</v>
      </c>
      <c r="D16" s="9">
        <f>Data!H19</f>
        <v>108.205</v>
      </c>
      <c r="F16" s="19">
        <f t="shared" si="0"/>
        <v>152.76</v>
      </c>
      <c r="G16" s="27">
        <f t="shared" si="1"/>
        <v>108.205</v>
      </c>
      <c r="H16" s="19">
        <f t="shared" si="2"/>
        <v>130.69466666666668</v>
      </c>
      <c r="I16" s="20">
        <f t="shared" si="3"/>
        <v>121.57149999999999</v>
      </c>
      <c r="J16" s="19">
        <f>(LN(B16)+LN(C16)+LN(D16))/3</f>
        <v>4.8630003154092689</v>
      </c>
      <c r="K16" s="19">
        <f t="shared" si="4"/>
        <v>4906.8</v>
      </c>
    </row>
    <row r="17" spans="1:14" x14ac:dyDescent="0.25">
      <c r="A17" s="3" t="s">
        <v>30</v>
      </c>
      <c r="B17" s="9">
        <f>Data!F20</f>
        <v>267.64799999999997</v>
      </c>
      <c r="C17" s="9">
        <f>Data!G20</f>
        <v>229.7312</v>
      </c>
      <c r="D17" s="9">
        <f>Data!H20</f>
        <v>189.58399999999997</v>
      </c>
      <c r="F17" s="19">
        <f t="shared" si="0"/>
        <v>267.64799999999997</v>
      </c>
      <c r="G17" s="27">
        <f t="shared" si="1"/>
        <v>189.58399999999997</v>
      </c>
      <c r="H17" s="19">
        <f t="shared" si="2"/>
        <v>228.9877333333333</v>
      </c>
      <c r="I17" s="20">
        <f t="shared" si="3"/>
        <v>213.00319999999994</v>
      </c>
      <c r="J17" s="19">
        <f>(LN(B17)+LN(C17)+LN(D17))/3</f>
        <v>5.4238049374180664</v>
      </c>
      <c r="K17" s="19">
        <f t="shared" si="4"/>
        <v>4791.9120000000003</v>
      </c>
    </row>
    <row r="18" spans="1:14" x14ac:dyDescent="0.25">
      <c r="A18" s="3" t="s">
        <v>33</v>
      </c>
      <c r="B18" s="9">
        <f>Data!F21</f>
        <v>105.66</v>
      </c>
      <c r="C18" s="9">
        <f>Data!G21</f>
        <v>90.691500000000005</v>
      </c>
      <c r="D18" s="9">
        <f>Data!H21</f>
        <v>74.842500000000001</v>
      </c>
      <c r="F18" s="19">
        <f t="shared" si="0"/>
        <v>105.66</v>
      </c>
      <c r="G18" s="27">
        <f t="shared" si="1"/>
        <v>74.842500000000001</v>
      </c>
      <c r="H18" s="19">
        <f t="shared" si="2"/>
        <v>90.397999999999982</v>
      </c>
      <c r="I18" s="20">
        <f t="shared" si="3"/>
        <v>84.08775</v>
      </c>
      <c r="J18" s="19">
        <f>(LN(B18)+LN(C18)+LN(D18))/3</f>
        <v>4.4943586447881225</v>
      </c>
      <c r="K18" s="19">
        <f t="shared" si="4"/>
        <v>4953.9000000000005</v>
      </c>
    </row>
    <row r="19" spans="1:14" x14ac:dyDescent="0.25">
      <c r="A19" s="3" t="s">
        <v>35</v>
      </c>
      <c r="B19" s="9">
        <f>Data!F22</f>
        <v>314.916</v>
      </c>
      <c r="C19" s="9">
        <f>Data!G22</f>
        <v>270.30290000000002</v>
      </c>
      <c r="D19" s="9">
        <f>Data!H22</f>
        <v>223.06549999999999</v>
      </c>
      <c r="F19" s="19">
        <f t="shared" si="0"/>
        <v>314.916</v>
      </c>
      <c r="G19" s="19">
        <f t="shared" si="1"/>
        <v>223.06549999999999</v>
      </c>
      <c r="H19" s="19">
        <f t="shared" si="2"/>
        <v>269.42813333333334</v>
      </c>
      <c r="I19" s="20">
        <f t="shared" si="3"/>
        <v>250.62064999999996</v>
      </c>
      <c r="J19" s="19">
        <f>(LN(B19)+LN(C19)+LN(D19))/3</f>
        <v>5.5864381896490416</v>
      </c>
      <c r="K19" s="19">
        <f t="shared" si="4"/>
        <v>4744.6440000000002</v>
      </c>
    </row>
    <row r="20" spans="1:14" x14ac:dyDescent="0.25">
      <c r="A20" s="14"/>
      <c r="B20" s="52"/>
      <c r="C20" s="53"/>
      <c r="D20" s="53"/>
      <c r="E20" s="23"/>
      <c r="F20" s="50"/>
      <c r="G20" s="50"/>
      <c r="H20" s="50"/>
      <c r="I20" s="51"/>
      <c r="J20" s="50"/>
      <c r="K20" s="50"/>
    </row>
    <row r="21" spans="1:14" x14ac:dyDescent="0.25">
      <c r="E21" s="42" t="s">
        <v>62</v>
      </c>
      <c r="F21" s="47">
        <f>MAX(F6:F19)</f>
        <v>5059.5600000000004</v>
      </c>
      <c r="G21" s="47">
        <f>MAX(G6:G19)</f>
        <v>3583.855</v>
      </c>
      <c r="H21" s="47">
        <f>MAX(H6:H19)</f>
        <v>4328.7346666666672</v>
      </c>
      <c r="I21" s="48">
        <f>MAX(I6:I19)</f>
        <v>4026.5664999999999</v>
      </c>
      <c r="J21" s="47">
        <f>MAX(J6:J19)</f>
        <v>8.3631670550307877</v>
      </c>
      <c r="K21" s="49">
        <f>MIN(K6:K19)</f>
        <v>0</v>
      </c>
      <c r="L21" s="34"/>
      <c r="M21" s="32"/>
      <c r="N21" s="33"/>
    </row>
    <row r="22" spans="1:14" x14ac:dyDescent="0.25">
      <c r="L22" s="23"/>
      <c r="M22" s="23"/>
      <c r="N22" s="23"/>
    </row>
  </sheetData>
  <mergeCells count="3">
    <mergeCell ref="K4:M4"/>
    <mergeCell ref="A2:B2"/>
    <mergeCell ref="F2:K2"/>
  </mergeCells>
  <conditionalFormatting sqref="P5">
    <cfRule type="cellIs" dxfId="0" priority="1" operator="equal">
      <formula>"Max(F6:F19)"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3BBF2-86CE-4BB9-AE31-158311741FE8}">
  <dimension ref="B1:F10"/>
  <sheetViews>
    <sheetView tabSelected="1" workbookViewId="0">
      <selection activeCell="G7" sqref="G7"/>
    </sheetView>
  </sheetViews>
  <sheetFormatPr baseColWidth="10" defaultRowHeight="15" x14ac:dyDescent="0.25"/>
  <cols>
    <col min="2" max="2" width="21.7109375" customWidth="1"/>
    <col min="3" max="3" width="19.7109375" customWidth="1"/>
    <col min="4" max="4" width="21" customWidth="1"/>
  </cols>
  <sheetData>
    <row r="1" spans="2:6" ht="15.75" customHeight="1" x14ac:dyDescent="0.25">
      <c r="B1" s="60" t="s">
        <v>72</v>
      </c>
      <c r="C1" s="60"/>
      <c r="D1" s="60"/>
      <c r="E1" s="54"/>
      <c r="F1" s="54"/>
    </row>
    <row r="2" spans="2:6" ht="15.75" customHeight="1" x14ac:dyDescent="0.25">
      <c r="B2" s="60"/>
      <c r="C2" s="60"/>
      <c r="D2" s="60"/>
      <c r="E2" s="54"/>
      <c r="F2" s="54"/>
    </row>
    <row r="3" spans="2:6" ht="18" customHeight="1" x14ac:dyDescent="0.25">
      <c r="B3" s="59"/>
      <c r="C3" s="59"/>
      <c r="D3" s="59"/>
    </row>
    <row r="4" spans="2:6" ht="33" customHeight="1" x14ac:dyDescent="0.25">
      <c r="B4" s="46" t="s">
        <v>63</v>
      </c>
      <c r="C4" s="46" t="s">
        <v>64</v>
      </c>
      <c r="D4" s="55" t="s">
        <v>65</v>
      </c>
    </row>
    <row r="5" spans="2:6" ht="30.75" customHeight="1" x14ac:dyDescent="0.25">
      <c r="B5" s="56" t="s">
        <v>66</v>
      </c>
      <c r="C5" s="57" t="str">
        <f>Calculations!A14</f>
        <v>GC=F</v>
      </c>
      <c r="D5" s="58">
        <f>Calculations!F21</f>
        <v>5059.5600000000004</v>
      </c>
    </row>
    <row r="6" spans="2:6" ht="29.25" customHeight="1" x14ac:dyDescent="0.25">
      <c r="B6" s="56" t="s">
        <v>67</v>
      </c>
      <c r="C6" s="57" t="str">
        <f>Calculations!A14</f>
        <v>GC=F</v>
      </c>
      <c r="D6" s="58">
        <f>Calculations!G21</f>
        <v>3583.855</v>
      </c>
    </row>
    <row r="7" spans="2:6" ht="30.75" customHeight="1" x14ac:dyDescent="0.25">
      <c r="B7" s="56" t="s">
        <v>68</v>
      </c>
      <c r="C7" s="57" t="str">
        <f>Calculations!A14</f>
        <v>GC=F</v>
      </c>
      <c r="D7" s="58">
        <f>Calculations!H21</f>
        <v>4328.7346666666672</v>
      </c>
    </row>
    <row r="8" spans="2:6" ht="29.25" customHeight="1" x14ac:dyDescent="0.25">
      <c r="B8" s="56" t="s">
        <v>69</v>
      </c>
      <c r="C8" s="57" t="str">
        <f>Calculations!A14</f>
        <v>GC=F</v>
      </c>
      <c r="D8" s="58">
        <f>Calculations!I21</f>
        <v>4026.5664999999999</v>
      </c>
    </row>
    <row r="9" spans="2:6" ht="27.75" customHeight="1" x14ac:dyDescent="0.25">
      <c r="B9" s="56" t="s">
        <v>71</v>
      </c>
      <c r="C9" s="57" t="str">
        <f>Calculations!A14</f>
        <v>GC=F</v>
      </c>
      <c r="D9" s="58">
        <f>Calculations!K21</f>
        <v>0</v>
      </c>
    </row>
    <row r="10" spans="2:6" ht="34.5" customHeight="1" x14ac:dyDescent="0.25">
      <c r="B10" s="56" t="s">
        <v>70</v>
      </c>
      <c r="C10" s="57" t="str">
        <f>Calculations!A14</f>
        <v>GC=F</v>
      </c>
      <c r="D10" s="58">
        <f>Calculations!J21</f>
        <v>8.3631670550307877</v>
      </c>
    </row>
  </sheetData>
  <mergeCells count="1">
    <mergeCell ref="B1:D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Data</vt:lpstr>
      <vt:lpstr>Calculations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علياء</dc:creator>
  <cp:lastModifiedBy>Aurelia DIORA</cp:lastModifiedBy>
  <dcterms:created xsi:type="dcterms:W3CDTF">2026-10-10T16:55:17Z</dcterms:created>
  <dcterms:modified xsi:type="dcterms:W3CDTF">2026-10-11T20:46:45Z</dcterms:modified>
</cp:coreProperties>
</file>